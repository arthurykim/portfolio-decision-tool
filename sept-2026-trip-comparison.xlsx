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 Routing" sheetId="1" state="visible" r:id="rId3"/>
    <sheet name="Venice+Dolomites Budget" sheetId="2" state="visible" r:id="rId4"/>
    <sheet name="Itinerary" sheetId="3" state="visible" r:id="rId5"/>
    <sheet name="All Options Compared" sheetId="4" state="visible" r:id="rId6"/>
    <sheet name="Note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research</author>
  </authors>
  <commentList>
    <comment ref="B8" authorId="0">
      <text>
        <r>
          <rPr>
            <sz val="10"/>
            <rFont val="Arial"/>
            <family val="2"/>
          </rPr>
          <t xml:space="preserve">Counts how many of the 4 long-haul legs (SF out, SF home, NY out, NY home) are nonstop. 4 is perfect.</t>
        </r>
      </text>
    </comment>
  </commentList>
</comments>
</file>

<file path=xl/sharedStrings.xml><?xml version="1.0" encoding="utf-8"?>
<sst xmlns="http://schemas.openxmlformats.org/spreadsheetml/2006/main" count="203" uniqueCount="195">
  <si>
    <t xml:space="preserve">Sept 4-12, 2026 — the flight problem, and how to solve it</t>
  </si>
  <si>
    <t xml:space="preserve">You have TWO origins (SFO/SJC and NYC) and want Venice for the Dolomites. Venice is the one place where those goals conflict.</t>
  </si>
  <si>
    <t xml:space="preserve">Key fact: there is NO nonstop SFO-Venice and NO nonstop SFO-Milan. The SFO-MXP nonstop died with Air Italy. Munich is the fix.</t>
  </si>
  <si>
    <t xml:space="preserve">Routing option</t>
  </si>
  <si>
    <t xml:space="preserve">SF person</t>
  </si>
  <si>
    <t xml:space="preserve">NY person</t>
  </si>
  <si>
    <t xml:space="preserve">Nonstop score</t>
  </si>
  <si>
    <t xml:space="preserve">Verdict</t>
  </si>
  <si>
    <t xml:space="preserve">A. Venice round-trip (VCE/VCE)</t>
  </si>
  <si>
    <t xml:space="preserve">1 stop each way (Zurich, Frankfurt, Munich or Rome). ~14h15 total.</t>
  </si>
  <si>
    <t xml:space="preserve">NONSTOP both ways — Delta JFK-VCE, 7x/week.</t>
  </si>
  <si>
    <t xml:space="preserve">2 of 4 legs</t>
  </si>
  <si>
    <t xml:space="preserve">Simplest logistics, but SF eats a connection in both directions.</t>
  </si>
  <si>
    <t xml:space="preserve">B. Munich round-trip (MUC/MUC)</t>
  </si>
  <si>
    <t xml:space="preserve">NONSTOP both ways — Lufthansa + United, 14x/week, year-round, 11h05.</t>
  </si>
  <si>
    <t xml:space="preserve">NONSTOP both ways — Lufthansa/United JFK &amp; EWR.</t>
  </si>
  <si>
    <t xml:space="preserve">4 of 4 legs</t>
  </si>
  <si>
    <t xml:space="preserve">Max nonstop, but you must drive back to Munich at the end. Venice becomes a detour, not a finale.</t>
  </si>
  <si>
    <t xml:space="preserve">C. OPEN JAW: into Munich, out of Venice  &lt;-- RECOMMENDED</t>
  </si>
  <si>
    <t xml:space="preserve">NONSTOP outbound (SFO-MUC). 1 stop home (VCE-SFO).</t>
  </si>
  <si>
    <t xml:space="preserve">NONSTOP both ways (JFK-MUC out, VCE-JFK home).</t>
  </si>
  <si>
    <t xml:space="preserve">3 of 4 legs</t>
  </si>
  <si>
    <t xml:space="preserve">Best of both. Zero backtracking: Munich &gt; Dolomites &gt; Venice &gt; home. SF takes exactly one connection, on the return, which is the easy direction.</t>
  </si>
  <si>
    <t xml:space="preserve">Book an open jaw as a single 'multi-city' itinerary, not two one-ways — it usually prices close to a round-trip. Lufthansa/United are the same alliance (Star), so one ticket covers both ends.</t>
  </si>
  <si>
    <t xml:space="preserve">Drive times (own car, no backtracking)</t>
  </si>
  <si>
    <t xml:space="preserve">Munich airport -&gt; Val Gardena / Ortisei</t>
  </si>
  <si>
    <t xml:space="preserve">~4h00 via Innsbruck and the Brenner Pass</t>
  </si>
  <si>
    <t xml:space="preserve">Val Gardena -&gt; Cortina d'Ampezzo</t>
  </si>
  <si>
    <t xml:space="preserve">~1h45 over Passo Gardena / Passo Falzarego</t>
  </si>
  <si>
    <t xml:space="preserve">Cortina -&gt; Venice airport</t>
  </si>
  <si>
    <t xml:space="preserve">~2h00 (150 km)</t>
  </si>
  <si>
    <t xml:space="preserve">Austria + Italy tolls</t>
  </si>
  <si>
    <t xml:space="preserve">Austrian vignette ~EUR 12 for 10 days, plus Brenner + Italian autostrada tolls ~EUR 60</t>
  </si>
  <si>
    <t xml:space="preserve">Primary plan: Munich in / Dolomites / Venice out — 8 nights, 2 people</t>
  </si>
  <si>
    <t xml:space="preserve">Yellow = edit me. Everything else is a formula. 2026 planning estimates, not quotes.</t>
  </si>
  <si>
    <t xml:space="preserve">Nights (total)</t>
  </si>
  <si>
    <t xml:space="preserve">Travelers</t>
  </si>
  <si>
    <t xml:space="preserve">Nights in Dolomites</t>
  </si>
  <si>
    <t xml:space="preserve">Nights in Venice</t>
  </si>
  <si>
    <t xml:space="preserve">Car rental days</t>
  </si>
  <si>
    <t xml:space="preserve">Line item</t>
  </si>
  <si>
    <t xml:space="preserve">Unit cost</t>
  </si>
  <si>
    <t xml:space="preserve">Units</t>
  </si>
  <si>
    <t xml:space="preserve">Multiplier</t>
  </si>
  <si>
    <t xml:space="preserve">Total</t>
  </si>
  <si>
    <t xml:space="preserve">Notes</t>
  </si>
  <si>
    <t xml:space="preserve">Airfare — SF person (SFO-MUC nonstop / VCE-SFO 1 stop)</t>
  </si>
  <si>
    <t xml:space="preserve">Open-jaw multi-city. Nonstop out on LH or UA; return connects via FRA/MUC/ZRH.</t>
  </si>
  <si>
    <t xml:space="preserve">Airfare — NY person (JFK-MUC / VCE-JFK)</t>
  </si>
  <si>
    <t xml:space="preserve">Nonstop both directions. Delta VCE-JFK runs 7x/week as of Jul 2026.</t>
  </si>
  <si>
    <t xml:space="preserve">Lodging — Dolomites</t>
  </si>
  <si>
    <t xml:space="preserve">Val Gardena/Ortisei or Alta Badia, 3-4* with half board. Book by ~April; Sept fills fast.</t>
  </si>
  <si>
    <t xml:space="preserve">Lodging — Venice</t>
  </si>
  <si>
    <t xml:space="preserve">Stay in Cannaregio or Dorsoduro, not San Marco. Cheaper and far nicer at night.</t>
  </si>
  <si>
    <t xml:space="preserve">Rental car</t>
  </si>
  <si>
    <t xml:space="preserve">Compact, automatic, full insurance. Pick up MUC, one-way drop at VCE — expect a cross-border one-way fee.</t>
  </si>
  <si>
    <t xml:space="preserve">Fuel + tolls + vignette</t>
  </si>
  <si>
    <t xml:space="preserve">Austrian vignette, Brenner toll, Italian autostrada, ~900 km of driving.</t>
  </si>
  <si>
    <t xml:space="preserve">Food + drink</t>
  </si>
  <si>
    <t xml:space="preserve">Per person per day, blended. Dolomite half-board keeps this down; Venice pushes it up.</t>
  </si>
  <si>
    <t xml:space="preserve">Cable cars, passes, activities</t>
  </si>
  <si>
    <t xml:space="preserve">Per person per day. Seceda and Lagazuoi lifts, Tre Cime toll road (~EUR 30/car), a Venice museum or two.</t>
  </si>
  <si>
    <t xml:space="preserve">Trains / vaporetto / airport transfers</t>
  </si>
  <si>
    <t xml:space="preserve">Per person per day, mostly the Venice end.</t>
  </si>
  <si>
    <t xml:space="preserve">TRIP TOTAL (couple)</t>
  </si>
  <si>
    <t xml:space="preserve">Per person</t>
  </si>
  <si>
    <t xml:space="preserve">Per person per day</t>
  </si>
  <si>
    <t xml:space="preserve">Excludes shopping, travel insurance, and any splurge dinner in Venice.</t>
  </si>
  <si>
    <t xml:space="preserve">Suggested 8-night itinerary (zero backtracking)</t>
  </si>
  <si>
    <t xml:space="preserve">Date</t>
  </si>
  <si>
    <t xml:space="preserve">Day</t>
  </si>
  <si>
    <t xml:space="preserve">Plan</t>
  </si>
  <si>
    <t xml:space="preserve">Sleep</t>
  </si>
  <si>
    <t xml:space="preserve">Thu Sep 3</t>
  </si>
  <si>
    <t xml:space="preserve">Thu</t>
  </si>
  <si>
    <t xml:space="preserve">Evening departure from SFO and JFK. Both are overnight flights.</t>
  </si>
  <si>
    <t xml:space="preserve">In the air</t>
  </si>
  <si>
    <t xml:space="preserve">Fri Sep 4</t>
  </si>
  <si>
    <t xml:space="preserve">Fri (off)</t>
  </si>
  <si>
    <t xml:space="preserve">Land Munich morning/midday. Collect the rental car. Drive south via Innsbruck and the Brenner Pass, ~4h. Stop in Innsbruck for lunch to break it up.</t>
  </si>
  <si>
    <t xml:space="preserve">Val Gardena</t>
  </si>
  <si>
    <t xml:space="preserve">Sat Sep 5</t>
  </si>
  <si>
    <t xml:space="preserve">Sat</t>
  </si>
  <si>
    <t xml:space="preserve">Seceda cable car from Ortisei. The ridgeline is the postcard shot. Easy-to-moderate hiking on the Alpe di Siusi plateau.</t>
  </si>
  <si>
    <t xml:space="preserve">Sun Sep 6</t>
  </si>
  <si>
    <t xml:space="preserve">Sun</t>
  </si>
  <si>
    <t xml:space="preserve">Sassolungo loop or the Puez-Odle trails. Long lunch at a rifugio — this is the whole point of the Dolomites.</t>
  </si>
  <si>
    <t xml:space="preserve">Mon Sep 7</t>
  </si>
  <si>
    <t xml:space="preserve">Mon (Labor Day)</t>
  </si>
  <si>
    <t xml:space="preserve">Drive the Great Dolomite Road east over Passo Gardena and Passo Falzarego. Lagazuoi cable car and its WWI tunnels. Arrive Cortina.</t>
  </si>
  <si>
    <t xml:space="preserve">Cortina area</t>
  </si>
  <si>
    <t xml:space="preserve">Tue Sep 8</t>
  </si>
  <si>
    <t xml:space="preserve">Tue (PTO)</t>
  </si>
  <si>
    <t xml:space="preserve">Tre Cime di Lavaredo. Drive the toll road to Rifugio Auronzo and walk the 10km loop. The single best day hike in the range.</t>
  </si>
  <si>
    <t xml:space="preserve">Wed Sep 9</t>
  </si>
  <si>
    <t xml:space="preserve">Wed (PTO)</t>
  </si>
  <si>
    <t xml:space="preserve">Lago di Braies at sunrise (go early, it gets mobbed), then Cinque Torri or a slower spa afternoon.</t>
  </si>
  <si>
    <t xml:space="preserve">Thu Sep 10</t>
  </si>
  <si>
    <t xml:space="preserve">Thu (PTO)</t>
  </si>
  <si>
    <t xml:space="preserve">Drive Cortina to Venice, ~2h. Drop the car at Marco Polo — do not take a car into Venice. Water taxi or Alilaguna in. Evening cicchetti crawl in Cannaregio.</t>
  </si>
  <si>
    <t xml:space="preserve">Venice</t>
  </si>
  <si>
    <t xml:space="preserve">Fri Sep 11</t>
  </si>
  <si>
    <t xml:space="preserve">Fri (PTO)</t>
  </si>
  <si>
    <t xml:space="preserve">Venice properly: Basilica and Doge's Palace early, then get lost. Afternoon vaporetto to Torcello or Burano.</t>
  </si>
  <si>
    <t xml:space="preserve">Sat Sep 12</t>
  </si>
  <si>
    <t xml:space="preserve">Fly home from VCE. NY nonstop; SF connects.</t>
  </si>
  <si>
    <t xml:space="preserve">Home</t>
  </si>
  <si>
    <t xml:space="preserve">PTO days used: Sep 8, 9, 10, 11 = 4 days. Sep 4 is your day off and Sep 7 is Labor Day.</t>
  </si>
  <si>
    <t xml:space="preserve">All destinations compared — 8 nights, 2 people</t>
  </si>
  <si>
    <t xml:space="preserve">Yellow = edit me. Totals recalculate. Estimates, not quotes.</t>
  </si>
  <si>
    <t xml:space="preserve">Nights</t>
  </si>
  <si>
    <t xml:space="preserve">Destination</t>
  </si>
  <si>
    <t xml:space="preserve">Nonstop legs (of 4)</t>
  </si>
  <si>
    <t xml:space="preserve">SF routing</t>
  </si>
  <si>
    <t xml:space="preserve">NY routing</t>
  </si>
  <si>
    <t xml:space="preserve">Airfare SF</t>
  </si>
  <si>
    <t xml:space="preserve">Airfare NY</t>
  </si>
  <si>
    <t xml:space="preserve">Lodging/night</t>
  </si>
  <si>
    <t xml:space="preserve">Food pp/day</t>
  </si>
  <si>
    <t xml:space="preserve">Other pp/day</t>
  </si>
  <si>
    <t xml:space="preserve">Ground transport</t>
  </si>
  <si>
    <t xml:space="preserve">TOTAL (couple)</t>
  </si>
  <si>
    <t xml:space="preserve">Weather Sep 4-12</t>
  </si>
  <si>
    <t xml:space="preserve">Venice + Dolomites (via Munich)</t>
  </si>
  <si>
    <t xml:space="preserve">SFO-MUC nonstop out; 1 stop home</t>
  </si>
  <si>
    <t xml:space="preserve">JFK-MUC / VCE-JFK, both nonstop</t>
  </si>
  <si>
    <t xml:space="preserve">Ideal. Dolomites peak hiking window, most stable weather of the season, rifugi still open. Venice warm, ~26C.</t>
  </si>
  <si>
    <t xml:space="preserve">Venice round-trip</t>
  </si>
  <si>
    <t xml:space="preserve">1 stop each way via ZRH/FRA/FCO</t>
  </si>
  <si>
    <t xml:space="preserve">JFK-VCE nonstop, 7x/wk</t>
  </si>
  <si>
    <t xml:space="preserve">Same as above. Simpler but SF connects twice.</t>
  </si>
  <si>
    <t xml:space="preserve">Japan — Tokyo + Japan Alps</t>
  </si>
  <si>
    <t xml:space="preserve">SFO-HND/NRT nonstop, UA/JAL/ANA</t>
  </si>
  <si>
    <t xml:space="preserve">JFK/EWR nonstop, JAL/ANA/UA/AA</t>
  </si>
  <si>
    <t xml:space="preserve">Tokyo 30-32C and 70%+ humidity, peak Kanto typhoon month. Kamikochi/Takayama are 24-28C and fix most of it.</t>
  </si>
  <si>
    <t xml:space="preserve">Lisbon</t>
  </si>
  <si>
    <t xml:space="preserve">SFO-LIS nonstop, TAP 4x/wk</t>
  </si>
  <si>
    <t xml:space="preserve">JFK/EWR nonstop, Delta/UA/TAP</t>
  </si>
  <si>
    <t xml:space="preserve">Near-perfect. 27C, ~4 wet days all month, ocean 20C.</t>
  </si>
  <si>
    <t xml:space="preserve">Madrid</t>
  </si>
  <si>
    <t xml:space="preserve">SFO-MAD nonstop, Iberia (seasonal)</t>
  </si>
  <si>
    <t xml:space="preserve">Nonstop, 4 carriers</t>
  </si>
  <si>
    <t xml:space="preserve">Warm and dry, high 20s C, city alive again after August.</t>
  </si>
  <si>
    <t xml:space="preserve">Barcelona</t>
  </si>
  <si>
    <t xml:space="preserve">SFO-BCN nonstop, UA/Iberia (seasonal)</t>
  </si>
  <si>
    <t xml:space="preserve">EWR/JFK nonstop</t>
  </si>
  <si>
    <t xml:space="preserve">Warm, beaches swimmable, still fairly crowded.</t>
  </si>
  <si>
    <t xml:space="preserve">Mexico City</t>
  </si>
  <si>
    <t xml:space="preserve">Nonstop year-round, UA/Aeromexico</t>
  </si>
  <si>
    <t xml:space="preserve">Nonstop year-round</t>
  </si>
  <si>
    <t xml:space="preserve">Rainy season: ~17 rain days but short afternoon showers, dry mornings. 23C.</t>
  </si>
  <si>
    <t xml:space="preserve">Cheapest</t>
  </si>
  <si>
    <t xml:space="preserve">Average</t>
  </si>
  <si>
    <t xml:space="preserve">Assumptions, caveats, sources</t>
  </si>
  <si>
    <t xml:space="preserve">Topic</t>
  </si>
  <si>
    <t xml:space="preserve">Detail</t>
  </si>
  <si>
    <t xml:space="preserve">Calendar</t>
  </si>
  <si>
    <t xml:space="preserve">Fri Sep 4 is your day off; Mon Sep 7 is Labor Day. PTO used: Sep 8-11 = 4 days. Verified against the 2026 calendar.</t>
  </si>
  <si>
    <t xml:space="preserve">THE key flight fact</t>
  </si>
  <si>
    <t xml:space="preserve">No airline flies SFO-Venice or SFO-Milan nonstop. Munich is the nearest airport with a year-round SFO nonstop (Lufthansa + United, 14x/week, 11h05) that is also a sane Dolomites gateway.</t>
  </si>
  <si>
    <t xml:space="preserve">Venice nonstops</t>
  </si>
  <si>
    <t xml:space="preserve">Delta flies JFK-VCE nonstop, 7x/week as of Jul 2026. It is seasonal — confirm it still operates the week of Sep 12 for the return before you book.</t>
  </si>
  <si>
    <t xml:space="preserve">Dolomites timing</t>
  </si>
  <si>
    <t xml:space="preserve">Sep 1-20 is widely called the single best hiking window of the year: all lifts and rifugi open, the most stable weather of the season, and crowds collapsed after August. Your dates sit dead center.</t>
  </si>
  <si>
    <t xml:space="preserve">Dolomites weather</t>
  </si>
  <si>
    <t xml:space="preserve">Valleys 12-20C by day; above 2000m, 5-12C daytime with possible sub-zero nights. Afternoon thunderstorms drop off sharply in September. Pack layers and a real shell.</t>
  </si>
  <si>
    <t xml:space="preserve">Rifugi closing</t>
  </si>
  <si>
    <t xml:space="preserve">Most close in the final week of September, some the last Sunday. You are early enough that this is a non-issue, but check the specific huts you plan to eat at.</t>
  </si>
  <si>
    <t xml:space="preserve">Car is mandatory</t>
  </si>
  <si>
    <t xml:space="preserve">Public transport in the Dolomites is poor. Book an automatic early — European fleets are mostly manual and automatics sell out. Do not drive into Venice; drop at Marco Polo.</t>
  </si>
  <si>
    <t xml:space="preserve">Japan verdict</t>
  </si>
  <si>
    <t xml:space="preserve">Genuinely appealing and the ONLY option where all 4 long-haul legs are nonstop. But Sep 4-12 is the worst two weeks of the Japanese year: 30-32C at 70%+ humidity in Tokyo, and the statistical peak of Kanto typhoon season (211mm, the rainiest month). A typhoon hits 1-2 times in a typical September.</t>
  </si>
  <si>
    <t xml:space="preserve">Japan, if you go anyway</t>
  </si>
  <si>
    <t xml:space="preserve">Skip lowland Tokyo sightseeing and head for altitude. Kamikochi (1500m, in the Northern Alps) and Takayama run 24-28C days and 15-19C mornings — a close cousin of the Dolomites trip. Kamikochi bans private cars; bus in from Matsumoto (1h30) or Takayama (1h). Bring full rain gear either way.</t>
  </si>
  <si>
    <t xml:space="preserve">Why not the Caribbean</t>
  </si>
  <si>
    <t xml:space="preserve">Sep 4-12 is the statistical peak of Atlantic hurricane season. Costa Rica is at peak rain. Both excluded on purpose.</t>
  </si>
  <si>
    <t xml:space="preserve">Cost basis</t>
  </si>
  <si>
    <t xml:space="preserve">Mid-range: 3-4* hotels or whole apartments, a mix of casual and nice meals, lifts and a few paid sights. Drawn from 2026 budget guides and fare aggregators, then rounded. Re-price on Google Flights before committing.</t>
  </si>
  <si>
    <t xml:space="preserve">Sources</t>
  </si>
  <si>
    <t xml:space="preserve">https://www.flightroutes.com/SFO-VCE</t>
  </si>
  <si>
    <t xml:space="preserve">https://www.flightsfrom.com/SFO-MXP</t>
  </si>
  <si>
    <t xml:space="preserve">https://www.flightconnections.com/flights-from-jfk-to-vce</t>
  </si>
  <si>
    <t xml:space="preserve">https://www.flightconnections.com/flights-from-sfo-to-muc</t>
  </si>
  <si>
    <t xml:space="preserve">https://www.flightconnections.com/flights-from-sfo-to-lis</t>
  </si>
  <si>
    <t xml:space="preserve">https://simpleflying.com/airlines-flying-san-francisco-europe-2026/</t>
  </si>
  <si>
    <t xml:space="preserve">https://huttohuthikingdolomites.com/blog/dolomites-weather-in-september</t>
  </si>
  <si>
    <t xml:space="preserve">https://www.moonhoneytravel.com/hiking-dolomites-september/</t>
  </si>
  <si>
    <t xml:space="preserve">https://dolomist.com/blogs/news/best-time-dolomites-hiking</t>
  </si>
  <si>
    <t xml:space="preserve">https://www.thecommonwanderer.com/blog/how-to-get-to-the-dolomites-italy</t>
  </si>
  <si>
    <t xml:space="preserve">https://www.agatetravel.com/japan/tokyo/weather-in-september.html</t>
  </si>
  <si>
    <t xml:space="preserve">https://selfguidejapan.com/blog/japan-typhoon-september-2026</t>
  </si>
  <si>
    <t xml:space="preserve">https://www.snowmonkeyresorts.com/news/takayama-in-september/</t>
  </si>
  <si>
    <t xml:space="preserve">https://www.japan-guide.com/e/e6040.html</t>
  </si>
  <si>
    <t xml:space="preserve">https://www.when-to-wander.com/destinations/lisbon/september/</t>
  </si>
  <si>
    <t xml:space="preserve">https://www.budgetyourtrip.com/mexico/mexico-city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</si>
</sst>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E8EEF7"/>
      </patternFill>
    </fill>
    <fill>
      <patternFill patternType="solid">
        <fgColor rgb="FFFFFF00"/>
        <bgColor rgb="FFFFFF00"/>
      </patternFill>
    </fill>
    <fill>
      <patternFill patternType="solid">
        <fgColor rgb="FFE8EEF7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2"/>
    <col collapsed="false" customWidth="true" hidden="false" outlineLevel="0" max="4" min="4" style="0" width="18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61.5" hidden="false" customHeight="tru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customFormat="false" ht="61.5" hidden="false" customHeight="true" outlineLevel="0" collapsed="false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</row>
    <row r="8" customFormat="false" ht="61.5" hidden="false" customHeight="true" outlineLevel="0" collapsed="false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</row>
    <row r="10" customFormat="false" ht="15" hidden="false" customHeight="false" outlineLevel="0" collapsed="false">
      <c r="A10" s="2" t="s">
        <v>23</v>
      </c>
    </row>
    <row r="12" customFormat="false" ht="15" hidden="false" customHeight="false" outlineLevel="0" collapsed="false">
      <c r="A12" s="8" t="s">
        <v>24</v>
      </c>
    </row>
    <row r="13" customFormat="false" ht="15" hidden="false" customHeight="false" outlineLevel="0" collapsed="false">
      <c r="A13" s="9" t="s">
        <v>25</v>
      </c>
      <c r="B13" s="9" t="s">
        <v>26</v>
      </c>
    </row>
    <row r="14" customFormat="false" ht="15" hidden="false" customHeight="false" outlineLevel="0" collapsed="false">
      <c r="A14" s="9" t="s">
        <v>27</v>
      </c>
      <c r="B14" s="9" t="s">
        <v>28</v>
      </c>
    </row>
    <row r="15" customFormat="false" ht="15" hidden="false" customHeight="false" outlineLevel="0" collapsed="false">
      <c r="A15" s="9" t="s">
        <v>29</v>
      </c>
      <c r="B15" s="9" t="s">
        <v>30</v>
      </c>
    </row>
    <row r="16" customFormat="false" ht="15" hidden="false" customHeight="false" outlineLevel="0" collapsed="false">
      <c r="A16" s="9" t="s">
        <v>31</v>
      </c>
      <c r="B16" s="9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10" t="s">
        <v>35</v>
      </c>
      <c r="B4" s="11" t="n">
        <v>8</v>
      </c>
    </row>
    <row r="5" customFormat="false" ht="15" hidden="false" customHeight="false" outlineLevel="0" collapsed="false">
      <c r="A5" s="10" t="s">
        <v>36</v>
      </c>
      <c r="B5" s="11" t="n">
        <v>2</v>
      </c>
    </row>
    <row r="6" customFormat="false" ht="15" hidden="false" customHeight="false" outlineLevel="0" collapsed="false">
      <c r="A6" s="10" t="s">
        <v>37</v>
      </c>
      <c r="B6" s="11" t="n">
        <v>6</v>
      </c>
    </row>
    <row r="7" customFormat="false" ht="15" hidden="false" customHeight="false" outlineLevel="0" collapsed="false">
      <c r="A7" s="10" t="s">
        <v>38</v>
      </c>
      <c r="B7" s="12" t="n">
        <f aca="false">B4-B6</f>
        <v>2</v>
      </c>
    </row>
    <row r="8" customFormat="false" ht="15" hidden="false" customHeight="false" outlineLevel="0" collapsed="false">
      <c r="A8" s="10" t="s">
        <v>39</v>
      </c>
      <c r="B8" s="11" t="n">
        <v>7</v>
      </c>
    </row>
    <row r="10" customFormat="false" ht="45.75" hidden="false" customHeight="true" outlineLevel="0" collapsed="false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</row>
    <row r="11" customFormat="false" ht="33.75" hidden="false" customHeight="true" outlineLevel="0" collapsed="false">
      <c r="A11" s="13" t="s">
        <v>46</v>
      </c>
      <c r="B11" s="14" t="n">
        <v>1050</v>
      </c>
      <c r="C11" s="9" t="n">
        <v>1</v>
      </c>
      <c r="D11" s="9" t="n">
        <v>1</v>
      </c>
      <c r="E11" s="15" t="n">
        <f aca="false">B11*C11*D11</f>
        <v>1050</v>
      </c>
      <c r="F11" s="16" t="s">
        <v>47</v>
      </c>
    </row>
    <row r="12" customFormat="false" ht="33.75" hidden="false" customHeight="true" outlineLevel="0" collapsed="false">
      <c r="A12" s="13" t="s">
        <v>48</v>
      </c>
      <c r="B12" s="14" t="n">
        <v>850</v>
      </c>
      <c r="C12" s="9" t="n">
        <v>1</v>
      </c>
      <c r="D12" s="9" t="n">
        <v>1</v>
      </c>
      <c r="E12" s="15" t="n">
        <f aca="false">B12*C12*D12</f>
        <v>850</v>
      </c>
      <c r="F12" s="16" t="s">
        <v>49</v>
      </c>
    </row>
    <row r="13" customFormat="false" ht="33.75" hidden="false" customHeight="true" outlineLevel="0" collapsed="false">
      <c r="A13" s="13" t="s">
        <v>50</v>
      </c>
      <c r="B13" s="14" t="n">
        <v>220</v>
      </c>
      <c r="C13" s="9" t="n">
        <f aca="false">$B$6</f>
        <v>6</v>
      </c>
      <c r="D13" s="9" t="n">
        <v>1</v>
      </c>
      <c r="E13" s="15" t="n">
        <f aca="false">B13*C13*D13</f>
        <v>1320</v>
      </c>
      <c r="F13" s="16" t="s">
        <v>51</v>
      </c>
    </row>
    <row r="14" customFormat="false" ht="33.75" hidden="false" customHeight="true" outlineLevel="0" collapsed="false">
      <c r="A14" s="13" t="s">
        <v>52</v>
      </c>
      <c r="B14" s="14" t="n">
        <v>270</v>
      </c>
      <c r="C14" s="9" t="n">
        <f aca="false">$B$7</f>
        <v>2</v>
      </c>
      <c r="D14" s="9" t="n">
        <v>1</v>
      </c>
      <c r="E14" s="15" t="n">
        <f aca="false">B14*C14*D14</f>
        <v>540</v>
      </c>
      <c r="F14" s="16" t="s">
        <v>53</v>
      </c>
    </row>
    <row r="15" customFormat="false" ht="33.75" hidden="false" customHeight="true" outlineLevel="0" collapsed="false">
      <c r="A15" s="13" t="s">
        <v>54</v>
      </c>
      <c r="B15" s="14" t="n">
        <v>75</v>
      </c>
      <c r="C15" s="9" t="n">
        <f aca="false">$B$8</f>
        <v>7</v>
      </c>
      <c r="D15" s="9" t="n">
        <v>1</v>
      </c>
      <c r="E15" s="15" t="n">
        <f aca="false">B15*C15*D15</f>
        <v>525</v>
      </c>
      <c r="F15" s="16" t="s">
        <v>55</v>
      </c>
    </row>
    <row r="16" customFormat="false" ht="33.75" hidden="false" customHeight="true" outlineLevel="0" collapsed="false">
      <c r="A16" s="13" t="s">
        <v>56</v>
      </c>
      <c r="B16" s="14" t="n">
        <v>180</v>
      </c>
      <c r="C16" s="9" t="n">
        <v>1</v>
      </c>
      <c r="D16" s="9" t="n">
        <v>1</v>
      </c>
      <c r="E16" s="15" t="n">
        <f aca="false">B16*C16*D16</f>
        <v>180</v>
      </c>
      <c r="F16" s="16" t="s">
        <v>57</v>
      </c>
    </row>
    <row r="17" customFormat="false" ht="33.75" hidden="false" customHeight="true" outlineLevel="0" collapsed="false">
      <c r="A17" s="13" t="s">
        <v>58</v>
      </c>
      <c r="B17" s="14" t="n">
        <v>80</v>
      </c>
      <c r="C17" s="9" t="n">
        <f aca="false">$B$4</f>
        <v>8</v>
      </c>
      <c r="D17" s="9" t="n">
        <f aca="false">$B$5</f>
        <v>2</v>
      </c>
      <c r="E17" s="15" t="n">
        <f aca="false">B17*C17*D17</f>
        <v>1280</v>
      </c>
      <c r="F17" s="16" t="s">
        <v>59</v>
      </c>
    </row>
    <row r="18" customFormat="false" ht="33.75" hidden="false" customHeight="true" outlineLevel="0" collapsed="false">
      <c r="A18" s="13" t="s">
        <v>60</v>
      </c>
      <c r="B18" s="14" t="n">
        <v>40</v>
      </c>
      <c r="C18" s="9" t="n">
        <f aca="false">$B$4</f>
        <v>8</v>
      </c>
      <c r="D18" s="9" t="n">
        <f aca="false">$B$5</f>
        <v>2</v>
      </c>
      <c r="E18" s="15" t="n">
        <f aca="false">B18*C18*D18</f>
        <v>640</v>
      </c>
      <c r="F18" s="16" t="s">
        <v>61</v>
      </c>
    </row>
    <row r="19" customFormat="false" ht="33.75" hidden="false" customHeight="true" outlineLevel="0" collapsed="false">
      <c r="A19" s="13" t="s">
        <v>62</v>
      </c>
      <c r="B19" s="14" t="n">
        <v>25</v>
      </c>
      <c r="C19" s="9" t="n">
        <f aca="false">$B$4</f>
        <v>8</v>
      </c>
      <c r="D19" s="9" t="n">
        <f aca="false">$B$5</f>
        <v>2</v>
      </c>
      <c r="E19" s="15" t="n">
        <f aca="false">B19*C19*D19</f>
        <v>400</v>
      </c>
      <c r="F19" s="16" t="s">
        <v>63</v>
      </c>
    </row>
    <row r="20" customFormat="false" ht="15" hidden="false" customHeight="false" outlineLevel="0" collapsed="false">
      <c r="A20" s="17" t="s">
        <v>64</v>
      </c>
      <c r="E20" s="18" t="n">
        <f aca="false">SUM(E11:E19)</f>
        <v>6785</v>
      </c>
    </row>
    <row r="21" customFormat="false" ht="15" hidden="false" customHeight="false" outlineLevel="0" collapsed="false">
      <c r="A21" s="19" t="s">
        <v>65</v>
      </c>
      <c r="E21" s="20" t="n">
        <f aca="false">E20/B5</f>
        <v>3392.5</v>
      </c>
    </row>
    <row r="22" customFormat="false" ht="15" hidden="false" customHeight="false" outlineLevel="0" collapsed="false">
      <c r="A22" s="19" t="s">
        <v>66</v>
      </c>
      <c r="E22" s="20" t="n">
        <f aca="false">E21/B4</f>
        <v>424.0625</v>
      </c>
    </row>
    <row r="24" customFormat="false" ht="15" hidden="false" customHeight="false" outlineLevel="0" collapsed="false">
      <c r="A2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6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68</v>
      </c>
    </row>
    <row r="3" customFormat="false" ht="45.75" hidden="false" customHeight="true" outlineLevel="0" collapsed="false">
      <c r="A3" s="4" t="s">
        <v>69</v>
      </c>
      <c r="B3" s="4" t="s">
        <v>70</v>
      </c>
      <c r="C3" s="4" t="s">
        <v>71</v>
      </c>
      <c r="D3" s="4" t="s">
        <v>72</v>
      </c>
    </row>
    <row r="4" customFormat="false" ht="42" hidden="false" customHeight="true" outlineLevel="0" collapsed="false">
      <c r="A4" s="21" t="s">
        <v>73</v>
      </c>
      <c r="B4" s="5" t="s">
        <v>74</v>
      </c>
      <c r="C4" s="5" t="s">
        <v>75</v>
      </c>
      <c r="D4" s="5" t="s">
        <v>76</v>
      </c>
    </row>
    <row r="5" customFormat="false" ht="42" hidden="false" customHeight="true" outlineLevel="0" collapsed="false">
      <c r="A5" s="21" t="s">
        <v>77</v>
      </c>
      <c r="B5" s="5" t="s">
        <v>78</v>
      </c>
      <c r="C5" s="5" t="s">
        <v>79</v>
      </c>
      <c r="D5" s="5" t="s">
        <v>80</v>
      </c>
    </row>
    <row r="6" customFormat="false" ht="42" hidden="false" customHeight="true" outlineLevel="0" collapsed="false">
      <c r="A6" s="21" t="s">
        <v>81</v>
      </c>
      <c r="B6" s="5" t="s">
        <v>82</v>
      </c>
      <c r="C6" s="5" t="s">
        <v>83</v>
      </c>
      <c r="D6" s="5" t="s">
        <v>80</v>
      </c>
    </row>
    <row r="7" customFormat="false" ht="42" hidden="false" customHeight="true" outlineLevel="0" collapsed="false">
      <c r="A7" s="21" t="s">
        <v>84</v>
      </c>
      <c r="B7" s="5" t="s">
        <v>85</v>
      </c>
      <c r="C7" s="5" t="s">
        <v>86</v>
      </c>
      <c r="D7" s="5" t="s">
        <v>80</v>
      </c>
    </row>
    <row r="8" customFormat="false" ht="42" hidden="false" customHeight="true" outlineLevel="0" collapsed="false">
      <c r="A8" s="21" t="s">
        <v>87</v>
      </c>
      <c r="B8" s="5" t="s">
        <v>88</v>
      </c>
      <c r="C8" s="5" t="s">
        <v>89</v>
      </c>
      <c r="D8" s="5" t="s">
        <v>90</v>
      </c>
    </row>
    <row r="9" customFormat="false" ht="42" hidden="false" customHeight="true" outlineLevel="0" collapsed="false">
      <c r="A9" s="21" t="s">
        <v>91</v>
      </c>
      <c r="B9" s="5" t="s">
        <v>92</v>
      </c>
      <c r="C9" s="5" t="s">
        <v>93</v>
      </c>
      <c r="D9" s="5" t="s">
        <v>90</v>
      </c>
    </row>
    <row r="10" customFormat="false" ht="42" hidden="false" customHeight="true" outlineLevel="0" collapsed="false">
      <c r="A10" s="21" t="s">
        <v>94</v>
      </c>
      <c r="B10" s="5" t="s">
        <v>95</v>
      </c>
      <c r="C10" s="5" t="s">
        <v>96</v>
      </c>
      <c r="D10" s="5" t="s">
        <v>90</v>
      </c>
    </row>
    <row r="11" customFormat="false" ht="42" hidden="false" customHeight="true" outlineLevel="0" collapsed="false">
      <c r="A11" s="21" t="s">
        <v>97</v>
      </c>
      <c r="B11" s="5" t="s">
        <v>98</v>
      </c>
      <c r="C11" s="5" t="s">
        <v>99</v>
      </c>
      <c r="D11" s="5" t="s">
        <v>100</v>
      </c>
    </row>
    <row r="12" customFormat="false" ht="42" hidden="false" customHeight="true" outlineLevel="0" collapsed="false">
      <c r="A12" s="21" t="s">
        <v>101</v>
      </c>
      <c r="B12" s="5" t="s">
        <v>102</v>
      </c>
      <c r="C12" s="5" t="s">
        <v>103</v>
      </c>
      <c r="D12" s="5" t="s">
        <v>100</v>
      </c>
    </row>
    <row r="13" customFormat="false" ht="42" hidden="false" customHeight="true" outlineLevel="0" collapsed="false">
      <c r="A13" s="21" t="s">
        <v>104</v>
      </c>
      <c r="B13" s="5" t="s">
        <v>82</v>
      </c>
      <c r="C13" s="5" t="s">
        <v>105</v>
      </c>
      <c r="D13" s="5" t="s">
        <v>106</v>
      </c>
    </row>
    <row r="15" customFormat="false" ht="15" hidden="false" customHeight="false" outlineLevel="0" collapsed="false">
      <c r="A15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10" t="s">
        <v>110</v>
      </c>
      <c r="B4" s="11" t="n">
        <v>8</v>
      </c>
    </row>
    <row r="5" customFormat="false" ht="15" hidden="false" customHeight="false" outlineLevel="0" collapsed="false">
      <c r="A5" s="10" t="s">
        <v>36</v>
      </c>
      <c r="B5" s="11" t="n">
        <v>2</v>
      </c>
    </row>
    <row r="7" customFormat="false" ht="45.75" hidden="false" customHeight="true" outlineLevel="0" collapsed="false">
      <c r="A7" s="4" t="s">
        <v>111</v>
      </c>
      <c r="B7" s="4" t="s">
        <v>112</v>
      </c>
      <c r="C7" s="4" t="s">
        <v>113</v>
      </c>
      <c r="D7" s="4" t="s">
        <v>114</v>
      </c>
      <c r="E7" s="4" t="s">
        <v>115</v>
      </c>
      <c r="F7" s="4" t="s">
        <v>116</v>
      </c>
      <c r="G7" s="4" t="s">
        <v>117</v>
      </c>
      <c r="H7" s="4" t="s">
        <v>118</v>
      </c>
      <c r="I7" s="4" t="s">
        <v>119</v>
      </c>
      <c r="J7" s="4" t="s">
        <v>120</v>
      </c>
      <c r="K7" s="4" t="s">
        <v>121</v>
      </c>
      <c r="L7" s="4" t="s">
        <v>65</v>
      </c>
      <c r="M7" s="4" t="s">
        <v>122</v>
      </c>
    </row>
    <row r="8" customFormat="false" ht="48" hidden="false" customHeight="true" outlineLevel="0" collapsed="false">
      <c r="A8" s="22" t="s">
        <v>123</v>
      </c>
      <c r="B8" s="23" t="n">
        <v>3</v>
      </c>
      <c r="C8" s="24" t="s">
        <v>124</v>
      </c>
      <c r="D8" s="24" t="s">
        <v>125</v>
      </c>
      <c r="E8" s="25" t="n">
        <v>1050</v>
      </c>
      <c r="F8" s="25" t="n">
        <v>850</v>
      </c>
      <c r="G8" s="25" t="n">
        <v>235</v>
      </c>
      <c r="H8" s="25" t="n">
        <v>80</v>
      </c>
      <c r="I8" s="25" t="n">
        <v>65</v>
      </c>
      <c r="J8" s="25" t="n">
        <v>630</v>
      </c>
      <c r="K8" s="26" t="n">
        <f aca="false">E8+F8+G8*$B$4+H8*$B$4*$B$5+I8*$B$4*$B$5+J8</f>
        <v>6730</v>
      </c>
      <c r="L8" s="27" t="n">
        <f aca="false">K8/$B$5</f>
        <v>3365</v>
      </c>
      <c r="M8" s="28" t="s">
        <v>126</v>
      </c>
    </row>
    <row r="9" customFormat="false" ht="48" hidden="false" customHeight="true" outlineLevel="0" collapsed="false">
      <c r="A9" s="29" t="s">
        <v>127</v>
      </c>
      <c r="B9" s="30" t="n">
        <v>2</v>
      </c>
      <c r="C9" s="13" t="s">
        <v>128</v>
      </c>
      <c r="D9" s="13" t="s">
        <v>129</v>
      </c>
      <c r="E9" s="31" t="n">
        <v>1000</v>
      </c>
      <c r="F9" s="31" t="n">
        <v>800</v>
      </c>
      <c r="G9" s="31" t="n">
        <v>270</v>
      </c>
      <c r="H9" s="31" t="n">
        <v>90</v>
      </c>
      <c r="I9" s="31" t="n">
        <v>60</v>
      </c>
      <c r="J9" s="31" t="n">
        <v>300</v>
      </c>
      <c r="K9" s="32" t="n">
        <f aca="false">E9+F9+G9*$B$4+H9*$B$4*$B$5+I9*$B$4*$B$5+J9</f>
        <v>6660</v>
      </c>
      <c r="L9" s="33" t="n">
        <f aca="false">K9/$B$5</f>
        <v>3330</v>
      </c>
      <c r="M9" s="34" t="s">
        <v>130</v>
      </c>
    </row>
    <row r="10" customFormat="false" ht="48" hidden="false" customHeight="true" outlineLevel="0" collapsed="false">
      <c r="A10" s="29" t="s">
        <v>131</v>
      </c>
      <c r="B10" s="30" t="n">
        <v>4</v>
      </c>
      <c r="C10" s="13" t="s">
        <v>132</v>
      </c>
      <c r="D10" s="13" t="s">
        <v>133</v>
      </c>
      <c r="E10" s="31" t="n">
        <v>900</v>
      </c>
      <c r="F10" s="31" t="n">
        <v>1100</v>
      </c>
      <c r="G10" s="31" t="n">
        <v>190</v>
      </c>
      <c r="H10" s="31" t="n">
        <v>65</v>
      </c>
      <c r="I10" s="31" t="n">
        <v>55</v>
      </c>
      <c r="J10" s="31" t="n">
        <v>400</v>
      </c>
      <c r="K10" s="32" t="n">
        <f aca="false">E10+F10+G10*$B$4+H10*$B$4*$B$5+I10*$B$4*$B$5+J10</f>
        <v>5840</v>
      </c>
      <c r="L10" s="33" t="n">
        <f aca="false">K10/$B$5</f>
        <v>2920</v>
      </c>
      <c r="M10" s="34" t="s">
        <v>134</v>
      </c>
    </row>
    <row r="11" customFormat="false" ht="48" hidden="false" customHeight="true" outlineLevel="0" collapsed="false">
      <c r="A11" s="29" t="s">
        <v>135</v>
      </c>
      <c r="B11" s="30" t="n">
        <v>4</v>
      </c>
      <c r="C11" s="13" t="s">
        <v>136</v>
      </c>
      <c r="D11" s="13" t="s">
        <v>137</v>
      </c>
      <c r="E11" s="31" t="n">
        <v>850</v>
      </c>
      <c r="F11" s="31" t="n">
        <v>650</v>
      </c>
      <c r="G11" s="31" t="n">
        <v>170</v>
      </c>
      <c r="H11" s="31" t="n">
        <v>60</v>
      </c>
      <c r="I11" s="31" t="n">
        <v>35</v>
      </c>
      <c r="J11" s="31" t="n">
        <v>0</v>
      </c>
      <c r="K11" s="32" t="n">
        <f aca="false">E11+F11+G11*$B$4+H11*$B$4*$B$5+I11*$B$4*$B$5+J11</f>
        <v>4380</v>
      </c>
      <c r="L11" s="33" t="n">
        <f aca="false">K11/$B$5</f>
        <v>2190</v>
      </c>
      <c r="M11" s="34" t="s">
        <v>138</v>
      </c>
    </row>
    <row r="12" customFormat="false" ht="48" hidden="false" customHeight="true" outlineLevel="0" collapsed="false">
      <c r="A12" s="29" t="s">
        <v>139</v>
      </c>
      <c r="B12" s="30" t="n">
        <v>4</v>
      </c>
      <c r="C12" s="13" t="s">
        <v>140</v>
      </c>
      <c r="D12" s="13" t="s">
        <v>141</v>
      </c>
      <c r="E12" s="31" t="n">
        <v>800</v>
      </c>
      <c r="F12" s="31" t="n">
        <v>600</v>
      </c>
      <c r="G12" s="31" t="n">
        <v>160</v>
      </c>
      <c r="H12" s="31" t="n">
        <v>60</v>
      </c>
      <c r="I12" s="31" t="n">
        <v>35</v>
      </c>
      <c r="J12" s="31" t="n">
        <v>0</v>
      </c>
      <c r="K12" s="32" t="n">
        <f aca="false">E12+F12+G12*$B$4+H12*$B$4*$B$5+I12*$B$4*$B$5+J12</f>
        <v>4200</v>
      </c>
      <c r="L12" s="33" t="n">
        <f aca="false">K12/$B$5</f>
        <v>2100</v>
      </c>
      <c r="M12" s="34" t="s">
        <v>142</v>
      </c>
    </row>
    <row r="13" customFormat="false" ht="48" hidden="false" customHeight="true" outlineLevel="0" collapsed="false">
      <c r="A13" s="29" t="s">
        <v>143</v>
      </c>
      <c r="B13" s="30" t="n">
        <v>4</v>
      </c>
      <c r="C13" s="13" t="s">
        <v>144</v>
      </c>
      <c r="D13" s="13" t="s">
        <v>145</v>
      </c>
      <c r="E13" s="31" t="n">
        <v>850</v>
      </c>
      <c r="F13" s="31" t="n">
        <v>650</v>
      </c>
      <c r="G13" s="31" t="n">
        <v>190</v>
      </c>
      <c r="H13" s="31" t="n">
        <v>70</v>
      </c>
      <c r="I13" s="31" t="n">
        <v>40</v>
      </c>
      <c r="J13" s="31" t="n">
        <v>0</v>
      </c>
      <c r="K13" s="32" t="n">
        <f aca="false">E13+F13+G13*$B$4+H13*$B$4*$B$5+I13*$B$4*$B$5+J13</f>
        <v>4780</v>
      </c>
      <c r="L13" s="33" t="n">
        <f aca="false">K13/$B$5</f>
        <v>2390</v>
      </c>
      <c r="M13" s="34" t="s">
        <v>146</v>
      </c>
    </row>
    <row r="14" customFormat="false" ht="48" hidden="false" customHeight="true" outlineLevel="0" collapsed="false">
      <c r="A14" s="29" t="s">
        <v>147</v>
      </c>
      <c r="B14" s="30" t="n">
        <v>4</v>
      </c>
      <c r="C14" s="13" t="s">
        <v>148</v>
      </c>
      <c r="D14" s="13" t="s">
        <v>149</v>
      </c>
      <c r="E14" s="31" t="n">
        <v>400</v>
      </c>
      <c r="F14" s="31" t="n">
        <v>450</v>
      </c>
      <c r="G14" s="31" t="n">
        <v>130</v>
      </c>
      <c r="H14" s="31" t="n">
        <v>45</v>
      </c>
      <c r="I14" s="31" t="n">
        <v>30</v>
      </c>
      <c r="J14" s="31" t="n">
        <v>0</v>
      </c>
      <c r="K14" s="32" t="n">
        <f aca="false">E14+F14+G14*$B$4+H14*$B$4*$B$5+I14*$B$4*$B$5+J14</f>
        <v>3090</v>
      </c>
      <c r="L14" s="33" t="n">
        <f aca="false">K14/$B$5</f>
        <v>1545</v>
      </c>
      <c r="M14" s="34" t="s">
        <v>150</v>
      </c>
    </row>
    <row r="16" customFormat="false" ht="15" hidden="false" customHeight="false" outlineLevel="0" collapsed="false">
      <c r="A16" s="8" t="s">
        <v>151</v>
      </c>
      <c r="K16" s="35" t="n">
        <f aca="false">MIN(K8:K14)</f>
        <v>3090</v>
      </c>
    </row>
    <row r="17" customFormat="false" ht="15" hidden="false" customHeight="false" outlineLevel="0" collapsed="false">
      <c r="A17" s="8" t="s">
        <v>152</v>
      </c>
      <c r="K17" s="35" t="n">
        <f aca="false">AVERAGE(K8:K14)</f>
        <v>5097.14285714286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2"/>
  </cols>
  <sheetData>
    <row r="1" customFormat="false" ht="17.35" hidden="false" customHeight="false" outlineLevel="0" collapsed="false">
      <c r="A1" s="1" t="s">
        <v>153</v>
      </c>
    </row>
    <row r="3" customFormat="false" ht="45.75" hidden="false" customHeight="true" outlineLevel="0" collapsed="false">
      <c r="A3" s="4" t="s">
        <v>154</v>
      </c>
      <c r="B3" s="4" t="s">
        <v>155</v>
      </c>
    </row>
    <row r="4" customFormat="false" ht="51.75" hidden="false" customHeight="true" outlineLevel="0" collapsed="false">
      <c r="A4" s="36" t="s">
        <v>156</v>
      </c>
      <c r="B4" s="5" t="s">
        <v>157</v>
      </c>
    </row>
    <row r="5" customFormat="false" ht="51.75" hidden="false" customHeight="true" outlineLevel="0" collapsed="false">
      <c r="A5" s="36" t="s">
        <v>158</v>
      </c>
      <c r="B5" s="5" t="s">
        <v>159</v>
      </c>
    </row>
    <row r="6" customFormat="false" ht="51.75" hidden="false" customHeight="true" outlineLevel="0" collapsed="false">
      <c r="A6" s="36" t="s">
        <v>160</v>
      </c>
      <c r="B6" s="5" t="s">
        <v>161</v>
      </c>
    </row>
    <row r="7" customFormat="false" ht="51.75" hidden="false" customHeight="true" outlineLevel="0" collapsed="false">
      <c r="A7" s="36" t="s">
        <v>162</v>
      </c>
      <c r="B7" s="5" t="s">
        <v>163</v>
      </c>
    </row>
    <row r="8" customFormat="false" ht="51.75" hidden="false" customHeight="true" outlineLevel="0" collapsed="false">
      <c r="A8" s="36" t="s">
        <v>164</v>
      </c>
      <c r="B8" s="5" t="s">
        <v>165</v>
      </c>
    </row>
    <row r="9" customFormat="false" ht="51.75" hidden="false" customHeight="true" outlineLevel="0" collapsed="false">
      <c r="A9" s="36" t="s">
        <v>166</v>
      </c>
      <c r="B9" s="5" t="s">
        <v>167</v>
      </c>
    </row>
    <row r="10" customFormat="false" ht="51.75" hidden="false" customHeight="true" outlineLevel="0" collapsed="false">
      <c r="A10" s="36" t="s">
        <v>168</v>
      </c>
      <c r="B10" s="5" t="s">
        <v>169</v>
      </c>
    </row>
    <row r="11" customFormat="false" ht="51.75" hidden="false" customHeight="true" outlineLevel="0" collapsed="false">
      <c r="A11" s="36" t="s">
        <v>170</v>
      </c>
      <c r="B11" s="5" t="s">
        <v>171</v>
      </c>
    </row>
    <row r="12" customFormat="false" ht="51.75" hidden="false" customHeight="true" outlineLevel="0" collapsed="false">
      <c r="A12" s="36" t="s">
        <v>172</v>
      </c>
      <c r="B12" s="5" t="s">
        <v>173</v>
      </c>
    </row>
    <row r="13" customFormat="false" ht="51.75" hidden="false" customHeight="true" outlineLevel="0" collapsed="false">
      <c r="A13" s="36" t="s">
        <v>174</v>
      </c>
      <c r="B13" s="5" t="s">
        <v>175</v>
      </c>
    </row>
    <row r="14" customFormat="false" ht="51.75" hidden="false" customHeight="true" outlineLevel="0" collapsed="false">
      <c r="A14" s="36" t="s">
        <v>176</v>
      </c>
      <c r="B14" s="5" t="s">
        <v>177</v>
      </c>
    </row>
    <row r="17" customFormat="false" ht="15" hidden="false" customHeight="false" outlineLevel="0" collapsed="false">
      <c r="A17" s="37" t="s">
        <v>178</v>
      </c>
    </row>
    <row r="18" customFormat="false" ht="15" hidden="false" customHeight="false" outlineLevel="0" collapsed="false">
      <c r="A18" s="10" t="s">
        <v>179</v>
      </c>
    </row>
    <row r="19" customFormat="false" ht="15" hidden="false" customHeight="false" outlineLevel="0" collapsed="false">
      <c r="A19" s="10" t="s">
        <v>180</v>
      </c>
    </row>
    <row r="20" customFormat="false" ht="15" hidden="false" customHeight="false" outlineLevel="0" collapsed="false">
      <c r="A20" s="10" t="s">
        <v>181</v>
      </c>
    </row>
    <row r="21" customFormat="false" ht="15" hidden="false" customHeight="false" outlineLevel="0" collapsed="false">
      <c r="A21" s="10" t="s">
        <v>182</v>
      </c>
    </row>
    <row r="22" customFormat="false" ht="15" hidden="false" customHeight="false" outlineLevel="0" collapsed="false">
      <c r="A22" s="10" t="s">
        <v>183</v>
      </c>
    </row>
    <row r="23" customFormat="false" ht="15" hidden="false" customHeight="false" outlineLevel="0" collapsed="false">
      <c r="A23" s="10" t="s">
        <v>184</v>
      </c>
    </row>
    <row r="24" customFormat="false" ht="15" hidden="false" customHeight="false" outlineLevel="0" collapsed="false">
      <c r="A24" s="10" t="s">
        <v>185</v>
      </c>
    </row>
    <row r="25" customFormat="false" ht="15" hidden="false" customHeight="false" outlineLevel="0" collapsed="false">
      <c r="A25" s="10" t="s">
        <v>186</v>
      </c>
    </row>
    <row r="26" customFormat="false" ht="15" hidden="false" customHeight="false" outlineLevel="0" collapsed="false">
      <c r="A26" s="10" t="s">
        <v>187</v>
      </c>
    </row>
    <row r="27" customFormat="false" ht="15" hidden="false" customHeight="false" outlineLevel="0" collapsed="false">
      <c r="A27" s="10" t="s">
        <v>188</v>
      </c>
    </row>
    <row r="28" customFormat="false" ht="15" hidden="false" customHeight="false" outlineLevel="0" collapsed="false">
      <c r="A28" s="10" t="s">
        <v>189</v>
      </c>
    </row>
    <row r="29" customFormat="false" ht="15" hidden="false" customHeight="false" outlineLevel="0" collapsed="false">
      <c r="A29" s="10" t="s">
        <v>190</v>
      </c>
    </row>
    <row r="30" customFormat="false" ht="15" hidden="false" customHeight="false" outlineLevel="0" collapsed="false">
      <c r="A30" s="10" t="s">
        <v>191</v>
      </c>
    </row>
    <row r="31" customFormat="false" ht="15" hidden="false" customHeight="false" outlineLevel="0" collapsed="false">
      <c r="A31" s="10" t="s">
        <v>192</v>
      </c>
    </row>
    <row r="32" customFormat="false" ht="15" hidden="false" customHeight="false" outlineLevel="0" collapsed="false">
      <c r="A32" s="10" t="s">
        <v>193</v>
      </c>
    </row>
    <row r="33" customFormat="false" ht="15" hidden="false" customHeight="false" outlineLevel="0" collapsed="false">
      <c r="A33" s="1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2026-07-29T07:54:32Z</dcterms:created>
  <dc:creator>openpyxl</dc:creator>
  <dc:description/>
  <dc:language>en-US</dc:language>
  <cp:lastModifiedBy/>
  <dcterms:modified xsi:type="dcterms:W3CDTF">2026-07-29T07:54:32Z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